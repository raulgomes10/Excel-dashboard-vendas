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antander Excel com IA\Bloco 3 - Criando Dashboards com Excel\Desafio 3 - Criando um Dashboard de Vendas do Xbox com Excel\"/>
    </mc:Choice>
  </mc:AlternateContent>
  <xr:revisionPtr revIDLastSave="0" documentId="13_ncr:1_{AFE239DC-ED78-434D-B39D-51F271243944}" xr6:coauthVersionLast="47" xr6:coauthVersionMax="47" xr10:uidLastSave="{00000000-0000-0000-0000-000000000000}"/>
  <bookViews>
    <workbookView xWindow="-108" yWindow="-108" windowWidth="23256" windowHeight="12456" tabRatio="7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52" i="3"/>
  <c r="E27" i="3"/>
  <c r="E39" i="3"/>
</calcChain>
</file>

<file path=xl/sharedStrings.xml><?xml version="1.0" encoding="utf-8"?>
<sst xmlns="http://schemas.openxmlformats.org/spreadsheetml/2006/main" count="2030" uniqueCount="326">
  <si>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</si>
  <si>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</si>
  <si>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</si>
  <si>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</si>
  <si>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</si>
  <si>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</si>
  <si>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</si>
  <si>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</si>
  <si>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</si>
  <si>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</si>
  <si>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</si>
  <si>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</si>
  <si>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</si>
  <si>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</si>
  <si>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</si>
  <si>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</si>
  <si>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</si>
  <si>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</si>
  <si>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</si>
  <si>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</si>
  <si>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</si>
  <si>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</si>
  <si>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</si>
  <si>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</si>
  <si>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</si>
  <si>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</si>
  <si>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</si>
  <si>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</si>
  <si>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</si>
  <si>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</si>
  <si>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</si>
  <si>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</si>
  <si>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</si>
  <si>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</si>
  <si>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</si>
  <si>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</si>
  <si>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</si>
  <si>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</si>
  <si>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</si>
  <si>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</si>
  <si>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</si>
  <si>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</si>
  <si>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</si>
  <si>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</si>
  <si>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</si>
  <si>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</si>
  <si>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</si>
  <si>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</si>
  <si>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</si>
  <si>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</si>
  <si>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</si>
  <si>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</si>
  <si>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</si>
  <si>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</si>
  <si>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</si>
  <si>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</si>
  <si>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</si>
  <si>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</si>
  <si>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</si>
  <si>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</si>
  <si>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</si>
  <si>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</si>
  <si>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</si>
  <si>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</si>
  <si>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</si>
  <si>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</si>
  <si>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</si>
  <si>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</si>
  <si>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</si>
  <si>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</si>
  <si>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</si>
  <si>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</si>
  <si>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</si>
  <si>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</si>
  <si>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</si>
  <si>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</si>
  <si>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</si>
  <si>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</si>
  <si>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</si>
  <si>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</si>
  <si>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</si>
  <si>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</si>
  <si>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</si>
  <si>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</si>
  <si>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</si>
  <si>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</si>
  <si>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</si>
  <si>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</si>
  <si>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</si>
  <si>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</si>
  <si>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</si>
  <si>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</si>
  <si>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</si>
  <si>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</si>
  <si>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</si>
  <si>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</si>
  <si>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</si>
  <si>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</si>
  <si>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</si>
  <si>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</si>
  <si>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</si>
  <si>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</si>
  <si>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</si>
  <si>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</si>
  <si>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</si>
  <si>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</si>
  <si>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</si>
  <si>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</si>
  <si>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</si>
  <si>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</si>
  <si>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</si>
  <si>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</si>
  <si>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</si>
  <si>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</si>
  <si>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</si>
  <si>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</si>
  <si>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</si>
  <si>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</si>
  <si>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</si>
  <si>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</si>
  <si>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</si>
  <si>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</si>
  <si>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</si>
  <si>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</si>
  <si>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</si>
  <si>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</si>
  <si>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</si>
  <si>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</si>
  <si>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</si>
  <si>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</si>
  <si>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</si>
  <si>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</si>
  <si>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</si>
  <si>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</si>
  <si>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</si>
  <si>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</si>
  <si>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</si>
  <si>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</si>
  <si>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</si>
  <si>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</si>
  <si>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</si>
  <si>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</si>
  <si>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</si>
  <si>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</si>
  <si>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</si>
  <si>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</si>
  <si>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</si>
  <si>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</si>
  <si>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</si>
  <si>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</si>
  <si>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</si>
  <si>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</si>
  <si>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</si>
  <si>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</si>
  <si>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</si>
  <si>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</si>
  <si>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</si>
  <si>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</si>
  <si>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</si>
  <si>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</si>
  <si>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</si>
  <si>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</si>
  <si>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</si>
  <si>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</si>
  <si>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</si>
  <si>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</si>
  <si>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</si>
  <si>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</si>
  <si>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</si>
  <si>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</si>
  <si>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</si>
  <si>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</si>
  <si>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</si>
  <si>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</si>
  <si>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</si>
  <si>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</si>
  <si>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</si>
  <si>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</si>
  <si>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</si>
  <si>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</si>
  <si>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</si>
  <si>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</si>
  <si>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</si>
  <si>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</si>
  <si>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</si>
  <si>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</si>
  <si>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</si>
  <si>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</si>
  <si>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</si>
  <si>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</si>
  <si>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</si>
  <si>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</si>
  <si>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</si>
  <si>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</si>
  <si>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</si>
  <si>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</si>
  <si>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</si>
  <si>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</si>
  <si>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</si>
  <si>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</si>
  <si>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</si>
  <si>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</si>
  <si>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</si>
  <si>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</si>
  <si>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</si>
  <si>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</si>
  <si>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</si>
  <si>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</si>
  <si>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</si>
  <si>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</si>
  <si>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</si>
  <si>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</si>
  <si>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</si>
  <si>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</si>
  <si>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</si>
  <si>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</si>
  <si>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</si>
  <si>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</si>
  <si>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</si>
  <si>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</si>
  <si>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</si>
  <si>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</si>
  <si>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</si>
  <si>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</si>
  <si>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</si>
  <si>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</si>
  <si>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</si>
  <si>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</si>
  <si>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</si>
  <si>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</si>
  <si>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</si>
  <si>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</si>
  <si>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</si>
  <si>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</si>
  <si>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</si>
  <si>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</si>
  <si>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</si>
  <si>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</si>
  <si>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</si>
  <si>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</si>
  <si>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</si>
  <si>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</si>
  <si>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</si>
  <si>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</si>
  <si>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</si>
  <si>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</si>
  <si>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</si>
  <si>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</si>
  <si>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</si>
  <si>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</si>
  <si>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</si>
  <si>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</si>
  <si>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</si>
  <si>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</si>
  <si>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</si>
  <si>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</si>
  <si>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</si>
  <si>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</si>
  <si>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</si>
  <si>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</si>
  <si>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</si>
  <si>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</si>
  <si>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</si>
  <si>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</si>
  <si>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</si>
  <si>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</si>
  <si>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</si>
  <si>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</si>
  <si>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</si>
  <si>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</si>
  <si>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</si>
  <si>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</si>
  <si>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</si>
  <si>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</si>
  <si>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</si>
  <si>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</si>
  <si>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</si>
  <si>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</si>
  <si>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</si>
  <si>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</si>
  <si>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</si>
  <si>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</si>
  <si>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</si>
  <si>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</si>
  <si>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</si>
  <si>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</si>
  <si>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</si>
  <si>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</si>
  <si>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</si>
  <si>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</si>
  <si>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</si>
  <si>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</si>
  <si>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</si>
  <si>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</si>
  <si>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</si>
  <si>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</si>
  <si>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</si>
  <si>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</si>
  <si>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</si>
  <si>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</si>
  <si>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</si>
  <si>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</si>
  <si>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</si>
  <si>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</si>
  <si>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</si>
  <si>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</si>
  <si>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</si>
  <si>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</si>
  <si>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</si>
  <si>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</si>
  <si>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</si>
  <si>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</si>
  <si>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</si>
  <si>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pergunda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</si>
  <si>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 contendo todas as assinaturas agregadas)</t>
    </r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</si>
  <si>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</si>
  <si>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</si>
  <si>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</si>
  <si>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ou que não é por auto renovação.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</si>
  <si>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</si>
  <si>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</si>
  <si>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</si>
  <si>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</si>
  <si>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</si>
  <si>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Soma de Coupon Value</t>
  </si>
  <si>
    <t>Pergunta de negócio  5 - Qual o  Total de Coupon Value, separado por auto renovação e por não auto renovação.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</si>
</sst>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5BF6A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5BF6A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75D4967F-B0AF-47FB-87E5-8E010001E5D4}">
      <tableStyleElement type="wholeTable" dxfId="17"/>
      <tableStyleElement type="headerRow" dxfId="16"/>
    </tableStyle>
    <tableStyle name="SlicerStyleLight6 3" pivot="0" table="0" count="10" xr9:uid="{7C31F4F7-69FD-4626-822C-4C20E2BEE3B2}">
      <tableStyleElement type="wholeTable" dxfId="15"/>
      <tableStyleElement type="headerRow" dxfId="14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3_replicabase.xlsx]C̳álculos!tbl_panual_total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9.0297032800397171E-3"/>
              <c:y val="4.58024737663626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1215604251568249E-2"/>
          <c:y val="0.15157589361708265"/>
          <c:w val="0.7803661075673350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F-424D-9B88-6089DF39E44F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F-424D-9B88-6089DF39E44F}"/>
              </c:ext>
            </c:extLst>
          </c:dPt>
          <c:dLbls>
            <c:dLbl>
              <c:idx val="0"/>
              <c:layout>
                <c:manualLayout>
                  <c:x val="-9.0297032800397171E-3"/>
                  <c:y val="4.5802473766362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6F-424D-9B88-6089DF39E4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6F-424D-9B88-6089DF39E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575952"/>
        <c:axId val="1656099792"/>
      </c:barChart>
      <c:catAx>
        <c:axId val="159957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099792"/>
        <c:crosses val="autoZero"/>
        <c:auto val="1"/>
        <c:lblAlgn val="ctr"/>
        <c:lblOffset val="100"/>
        <c:noMultiLvlLbl val="0"/>
      </c:catAx>
      <c:valAx>
        <c:axId val="16560997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9957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148129</xdr:colOff>
      <xdr:row>0</xdr:row>
      <xdr:rowOff>63866</xdr:rowOff>
    </xdr:from>
    <xdr:to>
      <xdr:col>2</xdr:col>
      <xdr:colOff>447214</xdr:colOff>
      <xdr:row>2</xdr:row>
      <xdr:rowOff>87754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5D3D39-637C-4CBB-B137-C959276F75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1" t="19357" r="72937" b="24506"/>
        <a:stretch>
          <a:fillRect/>
        </a:stretch>
      </xdr:blipFill>
      <xdr:spPr>
        <a:xfrm>
          <a:off x="1999789" y="63866"/>
          <a:ext cx="542925" cy="557288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6</xdr:row>
      <xdr:rowOff>11431</xdr:rowOff>
    </xdr:from>
    <xdr:to>
      <xdr:col>0</xdr:col>
      <xdr:colOff>1813560</xdr:colOff>
      <xdr:row>14</xdr:row>
      <xdr:rowOff>26671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3F6B508-E379-4A3B-B088-368B5B67FE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1215391"/>
              <a:ext cx="1767840" cy="1653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38100</xdr:colOff>
      <xdr:row>5</xdr:row>
      <xdr:rowOff>80010</xdr:rowOff>
    </xdr:from>
    <xdr:to>
      <xdr:col>11</xdr:col>
      <xdr:colOff>30480</xdr:colOff>
      <xdr:row>11</xdr:row>
      <xdr:rowOff>118110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DCC17192-4561-B693-66FB-B612934A3694}"/>
            </a:ext>
          </a:extLst>
        </xdr:cNvPr>
        <xdr:cNvGrpSpPr/>
      </xdr:nvGrpSpPr>
      <xdr:grpSpPr>
        <a:xfrm>
          <a:off x="2133600" y="1154430"/>
          <a:ext cx="5478780" cy="1257300"/>
          <a:chOff x="2125453" y="1074420"/>
          <a:chExt cx="4793508" cy="125730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EA46252-693B-A313-D57F-D68C94133F7F}"/>
              </a:ext>
            </a:extLst>
          </xdr:cNvPr>
          <xdr:cNvSpPr/>
        </xdr:nvSpPr>
        <xdr:spPr>
          <a:xfrm>
            <a:off x="2141220" y="1097280"/>
            <a:ext cx="4777740" cy="11811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7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2707705-6A8D-4AD4-9FAC-2C472CA5A0D6}"/>
              </a:ext>
            </a:extLst>
          </xdr:cNvPr>
          <xdr:cNvSpPr/>
        </xdr:nvSpPr>
        <xdr:spPr>
          <a:xfrm>
            <a:off x="3307080" y="1306830"/>
            <a:ext cx="3208020" cy="86868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4A0A1EB-F35D-451A-A45B-B83C6735EC95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R$ 600,00 </a:t>
            </a:fld>
            <a:endParaRPr lang="pt-BR" sz="3600">
              <a:solidFill>
                <a:srgbClr val="5BF6A8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6665DED-3AB0-4F36-9757-8735AF9679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6960" y="1165860"/>
            <a:ext cx="1219200" cy="116586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C098274-389D-CD11-BF16-92E097551F53}"/>
              </a:ext>
            </a:extLst>
          </xdr:cNvPr>
          <xdr:cNvSpPr/>
        </xdr:nvSpPr>
        <xdr:spPr>
          <a:xfrm>
            <a:off x="2125453" y="1074420"/>
            <a:ext cx="4793508" cy="27432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</a:t>
            </a:r>
            <a:r>
              <a:rPr lang="pt-BR" sz="1100" b="1" baseline="0"/>
              <a:t> PLAY SEASON PASS</a:t>
            </a:r>
            <a:endParaRPr lang="pt-BR" sz="1100" b="1"/>
          </a:p>
        </xdr:txBody>
      </xdr:sp>
    </xdr:grpSp>
    <xdr:clientData/>
  </xdr:twoCellAnchor>
  <xdr:twoCellAnchor editAs="absolute">
    <xdr:from>
      <xdr:col>12</xdr:col>
      <xdr:colOff>15240</xdr:colOff>
      <xdr:row>5</xdr:row>
      <xdr:rowOff>80010</xdr:rowOff>
    </xdr:from>
    <xdr:to>
      <xdr:col>19</xdr:col>
      <xdr:colOff>7620</xdr:colOff>
      <xdr:row>11</xdr:row>
      <xdr:rowOff>64770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AF92B3D-F28C-60DC-9393-59DBEE98D73B}"/>
            </a:ext>
          </a:extLst>
        </xdr:cNvPr>
        <xdr:cNvGrpSpPr/>
      </xdr:nvGrpSpPr>
      <xdr:grpSpPr>
        <a:xfrm>
          <a:off x="8046720" y="1154430"/>
          <a:ext cx="4617720" cy="1203960"/>
          <a:chOff x="7338060" y="1036320"/>
          <a:chExt cx="4617720" cy="120396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B29F926-3AF0-405D-9EA9-EE1632E70D8B}"/>
              </a:ext>
            </a:extLst>
          </xdr:cNvPr>
          <xdr:cNvGrpSpPr/>
        </xdr:nvGrpSpPr>
        <xdr:grpSpPr>
          <a:xfrm>
            <a:off x="7338060" y="1036320"/>
            <a:ext cx="4617720" cy="1203960"/>
            <a:chOff x="2141220" y="1074420"/>
            <a:chExt cx="4777740" cy="120396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FC6471E-5478-D7BC-A547-A06E265B2F12}"/>
                </a:ext>
              </a:extLst>
            </xdr:cNvPr>
            <xdr:cNvSpPr/>
          </xdr:nvSpPr>
          <xdr:spPr>
            <a:xfrm>
              <a:off x="2141220" y="1097280"/>
              <a:ext cx="4777740" cy="11811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9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913AF9BF-6A13-CAFB-53B1-D8C4DFF97580}"/>
                </a:ext>
              </a:extLst>
            </xdr:cNvPr>
            <xdr:cNvSpPr/>
          </xdr:nvSpPr>
          <xdr:spPr>
            <a:xfrm>
              <a:off x="3480529" y="1344930"/>
              <a:ext cx="3208020" cy="86868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8CF0CDA-5783-42F2-BEF9-E17554BBA118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pPr algn="ctr"/>
                <a:t> R$ 940,00 </a:t>
              </a:fld>
              <a:endParaRPr lang="pt-BR" sz="360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BF85DF4B-0932-C4C0-0893-3C6D89CF35D3}"/>
                </a:ext>
              </a:extLst>
            </xdr:cNvPr>
            <xdr:cNvSpPr/>
          </xdr:nvSpPr>
          <xdr:spPr>
            <a:xfrm>
              <a:off x="2148840" y="1074420"/>
              <a:ext cx="4770120" cy="274320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</a:t>
              </a:r>
              <a:r>
                <a:rPr lang="pt-BR" sz="1100" b="1" baseline="0"/>
                <a:t> MINECRAFT SEASON PASS</a:t>
              </a:r>
              <a:endParaRPr lang="pt-BR" sz="1100" b="1"/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35404802-2265-4718-B31F-762DE11964E3}"/>
              </a:ext>
            </a:extLst>
          </xdr:cNvPr>
          <xdr:cNvGrpSpPr/>
        </xdr:nvGrpSpPr>
        <xdr:grpSpPr>
          <a:xfrm>
            <a:off x="7543800" y="1379220"/>
            <a:ext cx="1280160" cy="678180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E3403110-D8E3-A96C-DD1A-A2AA84AA1C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76443835-A6E9-4009-479B-A9921132A2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68580</xdr:colOff>
      <xdr:row>12</xdr:row>
      <xdr:rowOff>175260</xdr:rowOff>
    </xdr:from>
    <xdr:to>
      <xdr:col>11</xdr:col>
      <xdr:colOff>220980</xdr:colOff>
      <xdr:row>29</xdr:row>
      <xdr:rowOff>45720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909B4F4-E4E2-43E3-71B0-E9FB6F68D07C}"/>
            </a:ext>
          </a:extLst>
        </xdr:cNvPr>
        <xdr:cNvGrpSpPr/>
      </xdr:nvGrpSpPr>
      <xdr:grpSpPr>
        <a:xfrm>
          <a:off x="2164080" y="2651760"/>
          <a:ext cx="5638800" cy="2979420"/>
          <a:chOff x="2164080" y="2438400"/>
          <a:chExt cx="9974580" cy="297942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8911E6F0-8E7F-4856-387B-9E9BE99661A8}"/>
              </a:ext>
            </a:extLst>
          </xdr:cNvPr>
          <xdr:cNvGrpSpPr/>
        </xdr:nvGrpSpPr>
        <xdr:grpSpPr>
          <a:xfrm>
            <a:off x="2179320" y="2461260"/>
            <a:ext cx="9959340" cy="2956560"/>
            <a:chOff x="2705100" y="1104900"/>
            <a:chExt cx="4663440" cy="295656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BDE6E947-7301-7B16-26DC-A7A4F02AD79E}"/>
                </a:ext>
              </a:extLst>
            </xdr:cNvPr>
            <xdr:cNvSpPr/>
          </xdr:nvSpPr>
          <xdr:spPr>
            <a:xfrm>
              <a:off x="2705100" y="1104900"/>
              <a:ext cx="4518351" cy="280358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05D522B-4CD0-47A6-A080-8A8279BFE8CD}"/>
                </a:ext>
              </a:extLst>
            </xdr:cNvPr>
            <xdr:cNvGraphicFramePr>
              <a:graphicFrameLocks/>
            </xdr:cNvGraphicFramePr>
          </xdr:nvGraphicFramePr>
          <xdr:xfrm>
            <a:off x="2708668" y="1288684"/>
            <a:ext cx="4659872" cy="27727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BE9AC7AE-8F36-47A3-89EA-ACD48F56D9E5}"/>
              </a:ext>
            </a:extLst>
          </xdr:cNvPr>
          <xdr:cNvSpPr/>
        </xdr:nvSpPr>
        <xdr:spPr>
          <a:xfrm>
            <a:off x="2164080" y="2438400"/>
            <a:ext cx="9654540" cy="27432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SUBSCRIPTIONS XBOX GAME </a:t>
            </a:r>
            <a:r>
              <a:rPr lang="pt-BR" sz="1100" b="1" baseline="0"/>
              <a:t>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76200</xdr:colOff>
      <xdr:row>3</xdr:row>
      <xdr:rowOff>30480</xdr:rowOff>
    </xdr:from>
    <xdr:to>
      <xdr:col>0</xdr:col>
      <xdr:colOff>1645920</xdr:colOff>
      <xdr:row>5</xdr:row>
      <xdr:rowOff>30480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C46C4B1A-16E5-4CDD-6190-50746DD66F06}"/>
            </a:ext>
          </a:extLst>
        </xdr:cNvPr>
        <xdr:cNvSpPr/>
      </xdr:nvSpPr>
      <xdr:spPr>
        <a:xfrm>
          <a:off x="76200" y="914400"/>
          <a:ext cx="156972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&gt;Bem</a:t>
          </a:r>
          <a:r>
            <a:rPr lang="pt-BR" sz="1100" b="1" baseline="0"/>
            <a:t> Vindo, Allan.</a:t>
          </a:r>
          <a:endParaRPr lang="pt-BR" sz="1100" b="1"/>
        </a:p>
      </xdr:txBody>
    </xdr:sp>
    <xdr:clientData/>
  </xdr:twoCellAnchor>
  <xdr:twoCellAnchor editAs="absolute">
    <xdr:from>
      <xdr:col>1</xdr:col>
      <xdr:colOff>213360</xdr:colOff>
      <xdr:row>2</xdr:row>
      <xdr:rowOff>335280</xdr:rowOff>
    </xdr:from>
    <xdr:to>
      <xdr:col>11</xdr:col>
      <xdr:colOff>7620</xdr:colOff>
      <xdr:row>5</xdr:row>
      <xdr:rowOff>53340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4E2D958A-5E78-4C32-B78F-E9867AD4D2DE}"/>
            </a:ext>
          </a:extLst>
        </xdr:cNvPr>
        <xdr:cNvSpPr/>
      </xdr:nvSpPr>
      <xdr:spPr>
        <a:xfrm>
          <a:off x="2065020" y="868680"/>
          <a:ext cx="552450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1">
                  <a:lumMod val="65000"/>
                </a:schemeClr>
              </a:solidFill>
            </a:rPr>
            <a:t>Calculation Period: 01/01/2024 - 31/12/2024 | Update date:</a:t>
          </a:r>
          <a:r>
            <a:rPr lang="pt-BR" sz="1100" b="0" baseline="0">
              <a:solidFill>
                <a:schemeClr val="bg1">
                  <a:lumMod val="65000"/>
                </a:schemeClr>
              </a:solidFill>
            </a:rPr>
            <a:t> 21/09/2026 22:00:00</a:t>
          </a:r>
          <a:endParaRPr lang="pt-BR" sz="1100" b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533400</xdr:colOff>
      <xdr:row>0</xdr:row>
      <xdr:rowOff>167640</xdr:rowOff>
    </xdr:from>
    <xdr:to>
      <xdr:col>0</xdr:col>
      <xdr:colOff>1228725</xdr:colOff>
      <xdr:row>2</xdr:row>
      <xdr:rowOff>297180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CBDD2139-81AC-4EF8-9B61-9CB173DFD02A}"/>
            </a:ext>
          </a:extLst>
        </xdr:cNvPr>
        <xdr:cNvSpPr/>
      </xdr:nvSpPr>
      <xdr:spPr>
        <a:xfrm>
          <a:off x="533400" y="16764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12</xdr:col>
      <xdr:colOff>14985</xdr:colOff>
      <xdr:row>13</xdr:row>
      <xdr:rowOff>0</xdr:rowOff>
    </xdr:from>
    <xdr:to>
      <xdr:col>19</xdr:col>
      <xdr:colOff>7620</xdr:colOff>
      <xdr:row>19</xdr:row>
      <xdr:rowOff>83820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2DB686A1-A180-3F8F-4EC7-483A9BA163A5}"/>
            </a:ext>
          </a:extLst>
        </xdr:cNvPr>
        <xdr:cNvGrpSpPr/>
      </xdr:nvGrpSpPr>
      <xdr:grpSpPr>
        <a:xfrm>
          <a:off x="8046465" y="2659380"/>
          <a:ext cx="4617975" cy="1181100"/>
          <a:chOff x="7741665" y="2651760"/>
          <a:chExt cx="4617975" cy="118110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FDB1D26E-EB30-1901-28BA-02F3CB057BAB}"/>
              </a:ext>
            </a:extLst>
          </xdr:cNvPr>
          <xdr:cNvSpPr/>
        </xdr:nvSpPr>
        <xdr:spPr>
          <a:xfrm>
            <a:off x="7741920" y="2651760"/>
            <a:ext cx="4617720" cy="11811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6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16DD82D8-E3E2-B577-967C-5F615A55A26E}"/>
              </a:ext>
            </a:extLst>
          </xdr:cNvPr>
          <xdr:cNvSpPr/>
        </xdr:nvSpPr>
        <xdr:spPr>
          <a:xfrm>
            <a:off x="9181152" y="2891790"/>
            <a:ext cx="3100574" cy="86868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12CB3CB-DC0C-4E4E-8B79-0C9927F91C47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R$ 1.754,00 </a:t>
            </a:fld>
            <a:endParaRPr lang="pt-BR" sz="8800">
              <a:solidFill>
                <a:srgbClr val="5BF6A8"/>
              </a:solidFill>
            </a:endParaRPr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046D9C0B-E722-FD5C-F755-2379043746EF}"/>
              </a:ext>
            </a:extLst>
          </xdr:cNvPr>
          <xdr:cNvSpPr/>
        </xdr:nvSpPr>
        <xdr:spPr>
          <a:xfrm>
            <a:off x="7741665" y="2651760"/>
            <a:ext cx="4610355" cy="27432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/>
              <a:t>TOTAL </a:t>
            </a: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SUBSCRIPTIONS XBOX GAME </a:t>
            </a:r>
            <a:r>
              <a: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PASS</a:t>
            </a:r>
            <a:endParaRPr lang="pt-BR">
              <a:effectLst/>
            </a:endParaRPr>
          </a:p>
          <a:p>
            <a:pPr algn="ctr"/>
            <a:endParaRPr lang="pt-BR" sz="1100" b="1"/>
          </a:p>
        </xdr:txBody>
      </xdr:sp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594434D8-FD91-4BB5-8591-444D17390C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924800" y="3126676"/>
            <a:ext cx="1500597" cy="437008"/>
          </a:xfrm>
          <a:prstGeom prst="rect">
            <a:avLst/>
          </a:prstGeom>
        </xdr:spPr>
      </xdr:pic>
    </xdr:grpSp>
    <xdr:clientData/>
  </xdr:twoCellAnchor>
  <xdr:twoCellAnchor editAs="absolute">
    <xdr:from>
      <xdr:col>12</xdr:col>
      <xdr:colOff>15240</xdr:colOff>
      <xdr:row>21</xdr:row>
      <xdr:rowOff>129540</xdr:rowOff>
    </xdr:from>
    <xdr:to>
      <xdr:col>19</xdr:col>
      <xdr:colOff>7620</xdr:colOff>
      <xdr:row>28</xdr:row>
      <xdr:rowOff>53340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C83F04E8-109A-77AB-8F8B-87946DE24FDD}"/>
            </a:ext>
          </a:extLst>
        </xdr:cNvPr>
        <xdr:cNvGrpSpPr/>
      </xdr:nvGrpSpPr>
      <xdr:grpSpPr>
        <a:xfrm>
          <a:off x="8046720" y="4251960"/>
          <a:ext cx="4617720" cy="1203960"/>
          <a:chOff x="7741920" y="4107180"/>
          <a:chExt cx="4617720" cy="1203960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4D8746B6-0B8A-2F77-A9AA-2619A855F0FE}"/>
              </a:ext>
            </a:extLst>
          </xdr:cNvPr>
          <xdr:cNvGrpSpPr/>
        </xdr:nvGrpSpPr>
        <xdr:grpSpPr>
          <a:xfrm>
            <a:off x="7741920" y="4107180"/>
            <a:ext cx="4617720" cy="1203960"/>
            <a:chOff x="2141220" y="1074420"/>
            <a:chExt cx="4777740" cy="1203960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0C902B46-A419-4618-5481-7DAAEA642F07}"/>
                </a:ext>
              </a:extLst>
            </xdr:cNvPr>
            <xdr:cNvSpPr/>
          </xdr:nvSpPr>
          <xdr:spPr>
            <a:xfrm>
              <a:off x="2141220" y="1097280"/>
              <a:ext cx="4777740" cy="11811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52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EFDAC631-B842-3990-A20C-0D2F69D3C3D0}"/>
                </a:ext>
              </a:extLst>
            </xdr:cNvPr>
            <xdr:cNvSpPr/>
          </xdr:nvSpPr>
          <xdr:spPr>
            <a:xfrm>
              <a:off x="3685515" y="1314450"/>
              <a:ext cx="3208020" cy="86868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8334CB4-6634-47F1-83FF-45A9C1D66C04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pPr algn="ctr"/>
                <a:t> R$ 476,00 </a:t>
              </a:fld>
              <a:endParaRPr lang="pt-BR" sz="880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A5204BBF-22C6-88B8-51EE-1454B11D26F8}"/>
                </a:ext>
              </a:extLst>
            </xdr:cNvPr>
            <xdr:cNvSpPr/>
          </xdr:nvSpPr>
          <xdr:spPr>
            <a:xfrm>
              <a:off x="2148840" y="1074420"/>
              <a:ext cx="4770120" cy="274320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1"/>
                <a:t>TOTAL  COUPON VALUE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XBOX GAME </a:t>
              </a:r>
              <a:r>
                <a:rPr lang="pt-BR" sz="11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PASS</a:t>
              </a:r>
              <a:endParaRPr lang="pt-BR">
                <a:effectLst/>
              </a:endParaRPr>
            </a:p>
            <a:p>
              <a:pPr algn="ctr"/>
              <a:endParaRPr lang="pt-BR" sz="1100" b="1"/>
            </a:p>
          </xdr:txBody>
        </xdr:sp>
      </xdr:grpSp>
      <xdr:pic>
        <xdr:nvPicPr>
          <xdr:cNvPr id="42" name="Imagem 41">
            <a:extLst>
              <a:ext uri="{FF2B5EF4-FFF2-40B4-BE49-F238E27FC236}">
                <a16:creationId xmlns:a16="http://schemas.microsoft.com/office/drawing/2014/main" id="{5E67225D-19E5-45F4-86D3-5C81B6689B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909560" y="4587240"/>
            <a:ext cx="1500597" cy="437008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on Gomes" refreshedDate="46285.853961689812" createdVersion="8" refreshedVersion="8" minRefreshableVersion="3" recordCount="295" xr:uid="{8E6A7467-303A-4DAE-A3E7-45EF5E8A1C2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788975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6E043-D189-4FB9-9D63-E55089D6B2F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9:C5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0DC2E-F8A5-4BF9-8C40-DE5000F9EB38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3:C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87523-4F5D-468C-A6B2-EDE7DAD13B25}" name="tbl_p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C1A12-835E-4443-9B86-51548E64F0A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5:C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BCF2B71-A82C-4DAB-ADE7-82F6CED7569D}" sourceName="Subscription Type">
  <pivotTables>
    <pivotTable tabId="3" name="tbl_panual_total"/>
    <pivotTable tabId="3" name="tbl_easeasonpass_total"/>
    <pivotTable tabId="3" name="Tabela dinâmica2"/>
    <pivotTable tabId="3" name="Tabela dinâmica3"/>
  </pivotTables>
  <data>
    <tabular pivotCacheId="207889751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9202C46-1C0D-44C9-BE3B-1D157D39BAC6}" cache="SegmentaçãodeDados_Subscription_Type" caption="Subscription Type" style="SlicerStyleLight6 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K24" sqref="K2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K24" sqref="K2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9" width="23.6640625" bestFit="1" customWidth="1"/>
    <col min="10" max="10" width="25.6640625" bestFit="1" customWidth="1"/>
    <col min="11" max="11" width="30.5546875" bestFit="1" customWidth="1"/>
    <col min="12" max="12" width="18.21875" bestFit="1" customWidth="1"/>
    <col min="13" max="13" width="15.664062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52"/>
  <sheetViews>
    <sheetView showGridLines="0" topLeftCell="A16" workbookViewId="0">
      <selection activeCell="B44" sqref="B44"/>
    </sheetView>
  </sheetViews>
  <sheetFormatPr defaultRowHeight="14.4" x14ac:dyDescent="0.3"/>
  <cols>
    <col min="2" max="2" width="16.77734375" bestFit="1" customWidth="1"/>
    <col min="3" max="3" width="20.109375" bestFit="1" customWidth="1"/>
    <col min="4" max="4" width="30.5546875" bestFit="1" customWidth="1"/>
    <col min="5" max="5" width="12.777343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5" spans="2:5" x14ac:dyDescent="0.3">
      <c r="B5" s="15" t="s">
        <v>313</v>
      </c>
      <c r="C5" s="15"/>
      <c r="D5" s="15"/>
      <c r="E5" s="15"/>
    </row>
    <row r="8" spans="2:5" x14ac:dyDescent="0.3">
      <c r="B8" t="s">
        <v>314</v>
      </c>
    </row>
    <row r="9" spans="2:5" x14ac:dyDescent="0.3">
      <c r="B9" t="s">
        <v>318</v>
      </c>
    </row>
    <row r="11" spans="2:5" x14ac:dyDescent="0.3">
      <c r="B11" s="12" t="s">
        <v>16</v>
      </c>
      <c r="C11" t="s">
        <v>24</v>
      </c>
    </row>
    <row r="13" spans="2:5" x14ac:dyDescent="0.3">
      <c r="B13" s="12" t="s">
        <v>315</v>
      </c>
      <c r="C13" t="s">
        <v>317</v>
      </c>
    </row>
    <row r="14" spans="2:5" x14ac:dyDescent="0.3">
      <c r="B14" s="13" t="s">
        <v>23</v>
      </c>
      <c r="C14" s="14">
        <v>217</v>
      </c>
    </row>
    <row r="15" spans="2:5" x14ac:dyDescent="0.3">
      <c r="B15" s="13" t="s">
        <v>19</v>
      </c>
      <c r="C15" s="14">
        <v>1537</v>
      </c>
    </row>
    <row r="16" spans="2:5" x14ac:dyDescent="0.3">
      <c r="B16" s="13" t="s">
        <v>316</v>
      </c>
      <c r="C16" s="14">
        <v>1754</v>
      </c>
      <c r="E16" s="17">
        <f>GETPIVOTDATA("Total Value",$B$13)</f>
        <v>1754</v>
      </c>
    </row>
    <row r="19" spans="2:5" x14ac:dyDescent="0.3">
      <c r="B19" s="13" t="s">
        <v>320</v>
      </c>
    </row>
    <row r="21" spans="2:5" x14ac:dyDescent="0.3">
      <c r="B21" s="12" t="s">
        <v>16</v>
      </c>
      <c r="C21" t="s">
        <v>24</v>
      </c>
    </row>
    <row r="23" spans="2:5" x14ac:dyDescent="0.3">
      <c r="B23" s="12" t="s">
        <v>315</v>
      </c>
      <c r="C23" t="s">
        <v>321</v>
      </c>
    </row>
    <row r="24" spans="2:5" x14ac:dyDescent="0.3">
      <c r="B24" s="13" t="s">
        <v>22</v>
      </c>
      <c r="C24">
        <v>0</v>
      </c>
    </row>
    <row r="25" spans="2:5" x14ac:dyDescent="0.3">
      <c r="B25" s="13" t="s">
        <v>26</v>
      </c>
      <c r="C25">
        <v>0</v>
      </c>
    </row>
    <row r="26" spans="2:5" x14ac:dyDescent="0.3">
      <c r="B26" s="13" t="s">
        <v>18</v>
      </c>
      <c r="C26">
        <v>600</v>
      </c>
    </row>
    <row r="27" spans="2:5" x14ac:dyDescent="0.3">
      <c r="B27" s="13" t="s">
        <v>316</v>
      </c>
      <c r="C27">
        <v>600</v>
      </c>
      <c r="E27" s="17">
        <f>GETPIVOTDATA("EA Play Season Pass
Price",$B$23)</f>
        <v>600</v>
      </c>
    </row>
    <row r="30" spans="2:5" x14ac:dyDescent="0.3">
      <c r="B30" s="13" t="s">
        <v>322</v>
      </c>
    </row>
    <row r="33" spans="2:5" x14ac:dyDescent="0.3">
      <c r="B33" s="12" t="s">
        <v>16</v>
      </c>
      <c r="C33" t="s">
        <v>24</v>
      </c>
    </row>
    <row r="35" spans="2:5" x14ac:dyDescent="0.3">
      <c r="B35" s="12" t="s">
        <v>315</v>
      </c>
      <c r="C35" t="s">
        <v>323</v>
      </c>
    </row>
    <row r="36" spans="2:5" x14ac:dyDescent="0.3">
      <c r="B36" s="13" t="s">
        <v>22</v>
      </c>
      <c r="C36" s="14">
        <v>0</v>
      </c>
    </row>
    <row r="37" spans="2:5" x14ac:dyDescent="0.3">
      <c r="B37" s="13" t="s">
        <v>26</v>
      </c>
      <c r="C37" s="14">
        <v>540</v>
      </c>
    </row>
    <row r="38" spans="2:5" x14ac:dyDescent="0.3">
      <c r="B38" s="13" t="s">
        <v>18</v>
      </c>
      <c r="C38" s="14">
        <v>400</v>
      </c>
    </row>
    <row r="39" spans="2:5" x14ac:dyDescent="0.3">
      <c r="B39" s="13" t="s">
        <v>316</v>
      </c>
      <c r="C39" s="14">
        <v>940</v>
      </c>
      <c r="E39" s="17">
        <f>GETPIVOTDATA("Minecraft Season Pass Price",$B$35)</f>
        <v>940</v>
      </c>
    </row>
    <row r="44" spans="2:5" x14ac:dyDescent="0.3">
      <c r="B44" t="s">
        <v>325</v>
      </c>
    </row>
    <row r="47" spans="2:5" x14ac:dyDescent="0.3">
      <c r="B47" s="12" t="s">
        <v>16</v>
      </c>
      <c r="C47" t="s">
        <v>24</v>
      </c>
    </row>
    <row r="49" spans="2:5" x14ac:dyDescent="0.3">
      <c r="B49" s="12" t="s">
        <v>315</v>
      </c>
      <c r="C49" t="s">
        <v>324</v>
      </c>
    </row>
    <row r="50" spans="2:5" x14ac:dyDescent="0.3">
      <c r="B50" s="13" t="s">
        <v>23</v>
      </c>
      <c r="C50" s="14">
        <v>58</v>
      </c>
    </row>
    <row r="51" spans="2:5" x14ac:dyDescent="0.3">
      <c r="B51" s="13" t="s">
        <v>19</v>
      </c>
      <c r="C51" s="14">
        <v>418</v>
      </c>
    </row>
    <row r="52" spans="2:5" x14ac:dyDescent="0.3">
      <c r="B52" s="13" t="s">
        <v>316</v>
      </c>
      <c r="C52" s="14">
        <v>476</v>
      </c>
      <c r="E52" s="17">
        <f>GETPIVOTDATA("Coupon Value",$B$49)</f>
        <v>476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371"/>
  <sheetViews>
    <sheetView showGridLines="0" showRowColHeaders="0" tabSelected="1" zoomScaleNormal="100" workbookViewId="0">
      <selection activeCell="U19" sqref="U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7" style="6" customWidth="1"/>
    <col min="2" max="2" width="3.5546875" customWidth="1"/>
    <col min="12" max="12" width="6.5546875" customWidth="1"/>
    <col min="19" max="19" width="14.109375" customWidth="1"/>
  </cols>
  <sheetData>
    <row r="2" spans="1:19" ht="27.6" customHeight="1" thickBot="1" x14ac:dyDescent="0.6"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8"/>
      <c r="P2" s="18"/>
      <c r="Q2" s="18"/>
      <c r="R2" s="18"/>
      <c r="S2" s="18"/>
    </row>
    <row r="3" spans="1:19" ht="27.6" customHeight="1" thickTop="1" x14ac:dyDescent="0.3"/>
    <row r="4" spans="1:19" s="7" customFormat="1" ht="8.25" customHeight="1" x14ac:dyDescent="0.3">
      <c r="A4" s="6"/>
    </row>
    <row r="5" spans="1:19" s="7" customFormat="1" ht="7.5" customHeight="1" x14ac:dyDescent="0.3">
      <c r="A5" s="6"/>
    </row>
    <row r="6" spans="1:19" s="7" customFormat="1" ht="10.5" customHeight="1" x14ac:dyDescent="0.3">
      <c r="A6" s="6"/>
    </row>
    <row r="7" spans="1:19" s="7" customFormat="1" ht="9.75" customHeight="1" x14ac:dyDescent="0.3">
      <c r="A7" s="6"/>
    </row>
    <row r="8" spans="1:19" s="7" customFormat="1" ht="33" customHeight="1" x14ac:dyDescent="0.3">
      <c r="A8" s="6"/>
    </row>
    <row r="9" spans="1:19" s="7" customFormat="1" x14ac:dyDescent="0.3">
      <c r="A9" s="6"/>
    </row>
    <row r="10" spans="1:19" s="7" customFormat="1" x14ac:dyDescent="0.3">
      <c r="A10" s="6"/>
    </row>
    <row r="11" spans="1:19" s="7" customFormat="1" x14ac:dyDescent="0.3">
      <c r="A11" s="6"/>
    </row>
    <row r="12" spans="1:19" s="7" customFormat="1" x14ac:dyDescent="0.3">
      <c r="A12" s="6"/>
    </row>
    <row r="13" spans="1:19" s="7" customFormat="1" x14ac:dyDescent="0.3">
      <c r="A13" s="6"/>
    </row>
    <row r="14" spans="1:19" s="7" customFormat="1" x14ac:dyDescent="0.3">
      <c r="A14" s="6"/>
    </row>
    <row r="15" spans="1:19" s="7" customFormat="1" x14ac:dyDescent="0.3">
      <c r="A15" s="6"/>
    </row>
    <row r="16" spans="1:19" s="7" customFormat="1" x14ac:dyDescent="0.3">
      <c r="A16" s="6"/>
    </row>
    <row r="17" spans="1:1" s="7" customFormat="1" x14ac:dyDescent="0.3">
      <c r="A17" s="6"/>
    </row>
    <row r="18" spans="1:1" s="7" customFormat="1" x14ac:dyDescent="0.3">
      <c r="A18" s="6"/>
    </row>
    <row r="19" spans="1:1" s="7" customFormat="1" x14ac:dyDescent="0.3">
      <c r="A19" s="6"/>
    </row>
    <row r="20" spans="1:1" s="7" customFormat="1" x14ac:dyDescent="0.3">
      <c r="A20" s="6"/>
    </row>
    <row r="21" spans="1:1" s="7" customFormat="1" x14ac:dyDescent="0.3">
      <c r="A21" s="6"/>
    </row>
    <row r="22" spans="1:1" s="7" customFormat="1" x14ac:dyDescent="0.3">
      <c r="A22" s="6"/>
    </row>
    <row r="23" spans="1:1" s="7" customFormat="1" x14ac:dyDescent="0.3">
      <c r="A23" s="6"/>
    </row>
    <row r="24" spans="1:1" s="7" customFormat="1" x14ac:dyDescent="0.3">
      <c r="A24" s="6"/>
    </row>
    <row r="25" spans="1:1" s="7" customFormat="1" x14ac:dyDescent="0.3">
      <c r="A25" s="6"/>
    </row>
    <row r="26" spans="1:1" s="7" customFormat="1" x14ac:dyDescent="0.3">
      <c r="A26" s="6"/>
    </row>
    <row r="27" spans="1:1" s="7" customFormat="1" x14ac:dyDescent="0.3">
      <c r="A27" s="6"/>
    </row>
    <row r="28" spans="1:1" s="7" customFormat="1" x14ac:dyDescent="0.3">
      <c r="A28" s="6"/>
    </row>
    <row r="29" spans="1:1" s="7" customFormat="1" x14ac:dyDescent="0.3">
      <c r="A29" s="6"/>
    </row>
    <row r="30" spans="1:1" s="7" customFormat="1" x14ac:dyDescent="0.3">
      <c r="A30" s="6"/>
    </row>
    <row r="31" spans="1:1" s="7" customFormat="1" x14ac:dyDescent="0.3">
      <c r="A31" s="6"/>
    </row>
    <row r="32" spans="1:1" s="7" customFormat="1" x14ac:dyDescent="0.3">
      <c r="A32" s="6"/>
    </row>
    <row r="33" spans="1:1" s="7" customFormat="1" x14ac:dyDescent="0.3">
      <c r="A33" s="6"/>
    </row>
    <row r="34" spans="1:1" s="7" customFormat="1" x14ac:dyDescent="0.3">
      <c r="A34" s="6"/>
    </row>
    <row r="35" spans="1:1" s="7" customFormat="1" x14ac:dyDescent="0.3">
      <c r="A35" s="6"/>
    </row>
    <row r="36" spans="1:1" s="7" customFormat="1" x14ac:dyDescent="0.3">
      <c r="A36" s="6"/>
    </row>
    <row r="37" spans="1:1" s="7" customFormat="1" x14ac:dyDescent="0.3">
      <c r="A37" s="6"/>
    </row>
    <row r="38" spans="1:1" s="7" customFormat="1" x14ac:dyDescent="0.3">
      <c r="A38" s="6"/>
    </row>
    <row r="39" spans="1:1" s="7" customFormat="1" x14ac:dyDescent="0.3">
      <c r="A39" s="6"/>
    </row>
    <row r="40" spans="1:1" s="7" customFormat="1" x14ac:dyDescent="0.3">
      <c r="A40" s="6"/>
    </row>
    <row r="41" spans="1:1" s="7" customFormat="1" x14ac:dyDescent="0.3">
      <c r="A41" s="6"/>
    </row>
    <row r="42" spans="1:1" s="7" customFormat="1" x14ac:dyDescent="0.3">
      <c r="A42" s="6"/>
    </row>
    <row r="43" spans="1:1" s="7" customFormat="1" x14ac:dyDescent="0.3">
      <c r="A43" s="6"/>
    </row>
    <row r="44" spans="1:1" s="7" customFormat="1" x14ac:dyDescent="0.3">
      <c r="A44" s="6"/>
    </row>
    <row r="45" spans="1:1" s="7" customFormat="1" x14ac:dyDescent="0.3">
      <c r="A45" s="6"/>
    </row>
    <row r="46" spans="1:1" s="7" customFormat="1" x14ac:dyDescent="0.3">
      <c r="A46" s="6"/>
    </row>
    <row r="47" spans="1:1" s="7" customFormat="1" x14ac:dyDescent="0.3">
      <c r="A47" s="6"/>
    </row>
    <row r="48" spans="1:1" s="7" customFormat="1" x14ac:dyDescent="0.3">
      <c r="A48" s="6"/>
    </row>
    <row r="49" spans="1:1" s="7" customFormat="1" x14ac:dyDescent="0.3">
      <c r="A49" s="6"/>
    </row>
    <row r="50" spans="1:1" s="7" customFormat="1" x14ac:dyDescent="0.3">
      <c r="A50" s="6"/>
    </row>
    <row r="51" spans="1:1" s="7" customFormat="1" x14ac:dyDescent="0.3">
      <c r="A51" s="6"/>
    </row>
    <row r="52" spans="1:1" s="7" customFormat="1" x14ac:dyDescent="0.3">
      <c r="A52" s="6"/>
    </row>
    <row r="53" spans="1:1" s="7" customFormat="1" x14ac:dyDescent="0.3">
      <c r="A53" s="6"/>
    </row>
    <row r="54" spans="1:1" s="7" customFormat="1" x14ac:dyDescent="0.3">
      <c r="A54" s="6"/>
    </row>
    <row r="55" spans="1:1" s="7" customFormat="1" x14ac:dyDescent="0.3">
      <c r="A55" s="6"/>
    </row>
    <row r="56" spans="1:1" s="7" customFormat="1" x14ac:dyDescent="0.3">
      <c r="A56" s="6"/>
    </row>
    <row r="57" spans="1:1" s="7" customFormat="1" x14ac:dyDescent="0.3">
      <c r="A57" s="6"/>
    </row>
    <row r="58" spans="1:1" s="7" customFormat="1" x14ac:dyDescent="0.3">
      <c r="A58" s="6"/>
    </row>
    <row r="59" spans="1:1" s="7" customFormat="1" x14ac:dyDescent="0.3">
      <c r="A59" s="6"/>
    </row>
    <row r="60" spans="1:1" s="7" customFormat="1" x14ac:dyDescent="0.3">
      <c r="A60" s="6"/>
    </row>
    <row r="61" spans="1:1" s="7" customFormat="1" x14ac:dyDescent="0.3">
      <c r="A61" s="6"/>
    </row>
    <row r="62" spans="1:1" s="7" customFormat="1" x14ac:dyDescent="0.3">
      <c r="A62" s="6"/>
    </row>
    <row r="63" spans="1:1" s="7" customFormat="1" x14ac:dyDescent="0.3">
      <c r="A63" s="6"/>
    </row>
    <row r="64" spans="1:1" s="7" customFormat="1" x14ac:dyDescent="0.3">
      <c r="A64" s="6"/>
    </row>
    <row r="65" spans="1:1" s="7" customFormat="1" x14ac:dyDescent="0.3">
      <c r="A65" s="6"/>
    </row>
    <row r="66" spans="1:1" s="7" customFormat="1" x14ac:dyDescent="0.3">
      <c r="A66" s="6"/>
    </row>
    <row r="67" spans="1:1" s="7" customFormat="1" x14ac:dyDescent="0.3">
      <c r="A67" s="6"/>
    </row>
    <row r="68" spans="1:1" s="7" customFormat="1" x14ac:dyDescent="0.3">
      <c r="A68" s="6"/>
    </row>
    <row r="69" spans="1:1" s="7" customFormat="1" x14ac:dyDescent="0.3">
      <c r="A69" s="6"/>
    </row>
    <row r="70" spans="1:1" s="7" customFormat="1" x14ac:dyDescent="0.3">
      <c r="A70" s="6"/>
    </row>
    <row r="71" spans="1:1" s="7" customFormat="1" x14ac:dyDescent="0.3">
      <c r="A71" s="6"/>
    </row>
    <row r="72" spans="1:1" s="7" customFormat="1" x14ac:dyDescent="0.3">
      <c r="A72" s="6"/>
    </row>
    <row r="73" spans="1:1" s="7" customFormat="1" x14ac:dyDescent="0.3">
      <c r="A73" s="6"/>
    </row>
    <row r="74" spans="1:1" s="7" customFormat="1" x14ac:dyDescent="0.3">
      <c r="A74" s="6"/>
    </row>
    <row r="75" spans="1:1" s="7" customFormat="1" x14ac:dyDescent="0.3">
      <c r="A75" s="6"/>
    </row>
    <row r="76" spans="1:1" s="7" customFormat="1" x14ac:dyDescent="0.3">
      <c r="A76" s="6"/>
    </row>
    <row r="77" spans="1:1" s="7" customFormat="1" x14ac:dyDescent="0.3">
      <c r="A77" s="6"/>
    </row>
    <row r="78" spans="1:1" s="7" customFormat="1" x14ac:dyDescent="0.3">
      <c r="A78" s="6"/>
    </row>
    <row r="79" spans="1:1" s="7" customFormat="1" x14ac:dyDescent="0.3">
      <c r="A79" s="6"/>
    </row>
    <row r="80" spans="1:1" s="7" customFormat="1" x14ac:dyDescent="0.3">
      <c r="A80" s="6"/>
    </row>
    <row r="81" spans="1:1" s="7" customFormat="1" x14ac:dyDescent="0.3">
      <c r="A81" s="6"/>
    </row>
    <row r="82" spans="1:1" s="7" customFormat="1" x14ac:dyDescent="0.3">
      <c r="A82" s="6"/>
    </row>
    <row r="83" spans="1:1" s="7" customFormat="1" x14ac:dyDescent="0.3">
      <c r="A83" s="6"/>
    </row>
    <row r="84" spans="1:1" s="7" customFormat="1" x14ac:dyDescent="0.3">
      <c r="A84" s="6"/>
    </row>
    <row r="85" spans="1:1" s="7" customFormat="1" x14ac:dyDescent="0.3">
      <c r="A85" s="6"/>
    </row>
    <row r="86" spans="1:1" s="7" customFormat="1" x14ac:dyDescent="0.3">
      <c r="A86" s="6"/>
    </row>
    <row r="87" spans="1:1" s="7" customFormat="1" x14ac:dyDescent="0.3">
      <c r="A87" s="6"/>
    </row>
    <row r="88" spans="1:1" s="7" customFormat="1" x14ac:dyDescent="0.3">
      <c r="A88" s="6"/>
    </row>
    <row r="89" spans="1:1" s="7" customFormat="1" x14ac:dyDescent="0.3">
      <c r="A89" s="6"/>
    </row>
    <row r="90" spans="1:1" s="7" customFormat="1" x14ac:dyDescent="0.3">
      <c r="A90" s="6"/>
    </row>
    <row r="91" spans="1:1" s="7" customFormat="1" x14ac:dyDescent="0.3">
      <c r="A91" s="6"/>
    </row>
    <row r="92" spans="1:1" s="7" customFormat="1" x14ac:dyDescent="0.3">
      <c r="A92" s="6"/>
    </row>
    <row r="93" spans="1:1" s="7" customFormat="1" x14ac:dyDescent="0.3">
      <c r="A93" s="6"/>
    </row>
    <row r="94" spans="1:1" s="7" customFormat="1" x14ac:dyDescent="0.3">
      <c r="A94" s="6"/>
    </row>
    <row r="95" spans="1:1" s="7" customFormat="1" x14ac:dyDescent="0.3">
      <c r="A95" s="6"/>
    </row>
    <row r="96" spans="1:1" s="7" customFormat="1" x14ac:dyDescent="0.3">
      <c r="A96" s="6"/>
    </row>
    <row r="97" spans="1:1" s="7" customFormat="1" x14ac:dyDescent="0.3">
      <c r="A97" s="6"/>
    </row>
    <row r="98" spans="1:1" s="7" customFormat="1" x14ac:dyDescent="0.3">
      <c r="A98" s="6"/>
    </row>
    <row r="99" spans="1:1" s="7" customFormat="1" x14ac:dyDescent="0.3">
      <c r="A99" s="6"/>
    </row>
    <row r="100" spans="1:1" s="7" customFormat="1" x14ac:dyDescent="0.3">
      <c r="A100" s="6"/>
    </row>
    <row r="101" spans="1:1" s="7" customFormat="1" x14ac:dyDescent="0.3">
      <c r="A101" s="6"/>
    </row>
    <row r="102" spans="1:1" s="7" customFormat="1" x14ac:dyDescent="0.3">
      <c r="A102" s="6"/>
    </row>
    <row r="103" spans="1:1" s="7" customFormat="1" x14ac:dyDescent="0.3">
      <c r="A103" s="6"/>
    </row>
    <row r="104" spans="1:1" s="7" customFormat="1" x14ac:dyDescent="0.3">
      <c r="A104" s="6"/>
    </row>
    <row r="105" spans="1:1" s="7" customFormat="1" x14ac:dyDescent="0.3">
      <c r="A105" s="6"/>
    </row>
    <row r="106" spans="1:1" s="7" customFormat="1" x14ac:dyDescent="0.3">
      <c r="A106" s="6"/>
    </row>
    <row r="107" spans="1:1" s="7" customFormat="1" x14ac:dyDescent="0.3">
      <c r="A107" s="6"/>
    </row>
    <row r="108" spans="1:1" s="7" customFormat="1" x14ac:dyDescent="0.3">
      <c r="A108" s="6"/>
    </row>
    <row r="109" spans="1:1" s="7" customFormat="1" x14ac:dyDescent="0.3">
      <c r="A109" s="6"/>
    </row>
    <row r="110" spans="1:1" s="7" customFormat="1" x14ac:dyDescent="0.3">
      <c r="A110" s="6"/>
    </row>
    <row r="111" spans="1:1" s="7" customFormat="1" x14ac:dyDescent="0.3">
      <c r="A111" s="6"/>
    </row>
    <row r="112" spans="1:1" s="7" customFormat="1" x14ac:dyDescent="0.3">
      <c r="A112" s="6"/>
    </row>
    <row r="113" spans="1:1" s="7" customFormat="1" x14ac:dyDescent="0.3">
      <c r="A113" s="6"/>
    </row>
    <row r="114" spans="1:1" s="7" customFormat="1" x14ac:dyDescent="0.3">
      <c r="A114" s="6"/>
    </row>
    <row r="115" spans="1:1" s="7" customFormat="1" x14ac:dyDescent="0.3">
      <c r="A115" s="6"/>
    </row>
    <row r="116" spans="1:1" s="7" customFormat="1" x14ac:dyDescent="0.3">
      <c r="A116" s="6"/>
    </row>
    <row r="117" spans="1:1" s="7" customFormat="1" x14ac:dyDescent="0.3">
      <c r="A117" s="6"/>
    </row>
    <row r="118" spans="1:1" s="7" customFormat="1" x14ac:dyDescent="0.3">
      <c r="A118" s="6"/>
    </row>
    <row r="119" spans="1:1" s="7" customFormat="1" x14ac:dyDescent="0.3">
      <c r="A119" s="6"/>
    </row>
    <row r="120" spans="1:1" s="7" customFormat="1" x14ac:dyDescent="0.3">
      <c r="A120" s="6"/>
    </row>
    <row r="121" spans="1:1" s="7" customFormat="1" x14ac:dyDescent="0.3">
      <c r="A121" s="6"/>
    </row>
    <row r="122" spans="1:1" s="7" customFormat="1" x14ac:dyDescent="0.3">
      <c r="A122" s="6"/>
    </row>
    <row r="123" spans="1:1" s="7" customFormat="1" x14ac:dyDescent="0.3">
      <c r="A123" s="6"/>
    </row>
    <row r="124" spans="1:1" s="7" customFormat="1" x14ac:dyDescent="0.3">
      <c r="A124" s="6"/>
    </row>
    <row r="125" spans="1:1" s="7" customFormat="1" x14ac:dyDescent="0.3">
      <c r="A125" s="6"/>
    </row>
    <row r="126" spans="1:1" s="7" customFormat="1" x14ac:dyDescent="0.3">
      <c r="A126" s="6"/>
    </row>
    <row r="127" spans="1:1" s="7" customFormat="1" x14ac:dyDescent="0.3">
      <c r="A127" s="6"/>
    </row>
    <row r="128" spans="1:1" s="7" customFormat="1" x14ac:dyDescent="0.3">
      <c r="A128" s="6"/>
    </row>
    <row r="129" spans="1:1" s="7" customFormat="1" x14ac:dyDescent="0.3">
      <c r="A129" s="6"/>
    </row>
    <row r="130" spans="1:1" s="7" customFormat="1" x14ac:dyDescent="0.3">
      <c r="A130" s="6"/>
    </row>
    <row r="131" spans="1:1" s="7" customFormat="1" x14ac:dyDescent="0.3">
      <c r="A131" s="6"/>
    </row>
    <row r="132" spans="1:1" s="7" customFormat="1" x14ac:dyDescent="0.3">
      <c r="A132" s="6"/>
    </row>
    <row r="133" spans="1:1" s="7" customFormat="1" x14ac:dyDescent="0.3">
      <c r="A133" s="6"/>
    </row>
    <row r="134" spans="1:1" s="7" customFormat="1" x14ac:dyDescent="0.3">
      <c r="A134" s="6"/>
    </row>
    <row r="135" spans="1:1" s="7" customFormat="1" x14ac:dyDescent="0.3">
      <c r="A135" s="6"/>
    </row>
    <row r="136" spans="1:1" s="7" customFormat="1" x14ac:dyDescent="0.3">
      <c r="A136" s="6"/>
    </row>
    <row r="137" spans="1:1" s="7" customFormat="1" x14ac:dyDescent="0.3">
      <c r="A137" s="6"/>
    </row>
    <row r="138" spans="1:1" s="7" customFormat="1" x14ac:dyDescent="0.3">
      <c r="A138" s="6"/>
    </row>
    <row r="139" spans="1:1" s="7" customFormat="1" x14ac:dyDescent="0.3">
      <c r="A139" s="6"/>
    </row>
    <row r="140" spans="1:1" s="7" customFormat="1" x14ac:dyDescent="0.3">
      <c r="A140" s="6"/>
    </row>
    <row r="141" spans="1:1" s="7" customFormat="1" x14ac:dyDescent="0.3">
      <c r="A141" s="6"/>
    </row>
    <row r="142" spans="1:1" s="7" customFormat="1" x14ac:dyDescent="0.3">
      <c r="A142" s="6"/>
    </row>
    <row r="143" spans="1:1" s="7" customFormat="1" x14ac:dyDescent="0.3">
      <c r="A143" s="6"/>
    </row>
    <row r="144" spans="1:1" s="7" customFormat="1" x14ac:dyDescent="0.3">
      <c r="A144" s="6"/>
    </row>
    <row r="145" spans="1:1" s="7" customFormat="1" x14ac:dyDescent="0.3">
      <c r="A145" s="6"/>
    </row>
    <row r="146" spans="1:1" s="7" customFormat="1" x14ac:dyDescent="0.3">
      <c r="A146" s="6"/>
    </row>
    <row r="147" spans="1:1" s="7" customFormat="1" x14ac:dyDescent="0.3">
      <c r="A147" s="6"/>
    </row>
    <row r="148" spans="1:1" s="7" customFormat="1" x14ac:dyDescent="0.3">
      <c r="A148" s="6"/>
    </row>
    <row r="149" spans="1:1" s="7" customFormat="1" x14ac:dyDescent="0.3">
      <c r="A149" s="6"/>
    </row>
    <row r="150" spans="1:1" s="7" customFormat="1" x14ac:dyDescent="0.3">
      <c r="A150" s="6"/>
    </row>
    <row r="151" spans="1:1" s="7" customFormat="1" x14ac:dyDescent="0.3">
      <c r="A151" s="6"/>
    </row>
    <row r="152" spans="1:1" s="7" customFormat="1" x14ac:dyDescent="0.3">
      <c r="A152" s="6"/>
    </row>
    <row r="153" spans="1:1" s="7" customFormat="1" x14ac:dyDescent="0.3">
      <c r="A153" s="6"/>
    </row>
    <row r="154" spans="1:1" s="7" customFormat="1" x14ac:dyDescent="0.3">
      <c r="A154" s="6"/>
    </row>
    <row r="155" spans="1:1" s="7" customFormat="1" x14ac:dyDescent="0.3">
      <c r="A155" s="6"/>
    </row>
    <row r="156" spans="1:1" s="7" customFormat="1" x14ac:dyDescent="0.3">
      <c r="A156" s="6"/>
    </row>
    <row r="157" spans="1:1" s="7" customFormat="1" x14ac:dyDescent="0.3">
      <c r="A157" s="6"/>
    </row>
    <row r="158" spans="1:1" s="7" customFormat="1" x14ac:dyDescent="0.3">
      <c r="A158" s="6"/>
    </row>
    <row r="159" spans="1:1" s="7" customFormat="1" x14ac:dyDescent="0.3">
      <c r="A159" s="6"/>
    </row>
    <row r="160" spans="1:1" s="7" customFormat="1" x14ac:dyDescent="0.3">
      <c r="A160" s="6"/>
    </row>
    <row r="161" spans="1:1" s="7" customFormat="1" x14ac:dyDescent="0.3">
      <c r="A161" s="6"/>
    </row>
    <row r="162" spans="1:1" s="7" customFormat="1" x14ac:dyDescent="0.3">
      <c r="A162" s="6"/>
    </row>
    <row r="163" spans="1:1" s="7" customFormat="1" x14ac:dyDescent="0.3">
      <c r="A163" s="6"/>
    </row>
    <row r="164" spans="1:1" s="7" customFormat="1" x14ac:dyDescent="0.3">
      <c r="A164" s="6"/>
    </row>
    <row r="165" spans="1:1" s="7" customFormat="1" x14ac:dyDescent="0.3">
      <c r="A165" s="6"/>
    </row>
    <row r="166" spans="1:1" s="7" customFormat="1" x14ac:dyDescent="0.3">
      <c r="A166" s="6"/>
    </row>
    <row r="167" spans="1:1" s="7" customFormat="1" x14ac:dyDescent="0.3">
      <c r="A167" s="6"/>
    </row>
    <row r="168" spans="1:1" s="7" customFormat="1" x14ac:dyDescent="0.3">
      <c r="A168" s="6"/>
    </row>
    <row r="169" spans="1:1" s="7" customFormat="1" x14ac:dyDescent="0.3">
      <c r="A169" s="6"/>
    </row>
    <row r="170" spans="1:1" s="7" customFormat="1" x14ac:dyDescent="0.3">
      <c r="A170" s="6"/>
    </row>
    <row r="171" spans="1:1" s="7" customFormat="1" x14ac:dyDescent="0.3">
      <c r="A171" s="6"/>
    </row>
    <row r="172" spans="1:1" s="7" customFormat="1" x14ac:dyDescent="0.3">
      <c r="A172" s="6"/>
    </row>
    <row r="173" spans="1:1" s="7" customFormat="1" x14ac:dyDescent="0.3">
      <c r="A173" s="6"/>
    </row>
    <row r="174" spans="1:1" s="7" customFormat="1" x14ac:dyDescent="0.3">
      <c r="A174" s="6"/>
    </row>
    <row r="175" spans="1:1" s="7" customFormat="1" x14ac:dyDescent="0.3">
      <c r="A175" s="6"/>
    </row>
    <row r="176" spans="1:1" s="7" customFormat="1" x14ac:dyDescent="0.3">
      <c r="A176" s="6"/>
    </row>
    <row r="177" spans="1:1" s="7" customFormat="1" x14ac:dyDescent="0.3">
      <c r="A177" s="6"/>
    </row>
    <row r="178" spans="1:1" s="7" customFormat="1" x14ac:dyDescent="0.3">
      <c r="A178" s="6"/>
    </row>
    <row r="179" spans="1:1" s="7" customFormat="1" x14ac:dyDescent="0.3">
      <c r="A179" s="6"/>
    </row>
    <row r="180" spans="1:1" s="7" customFormat="1" x14ac:dyDescent="0.3">
      <c r="A180" s="6"/>
    </row>
    <row r="181" spans="1:1" s="7" customFormat="1" x14ac:dyDescent="0.3">
      <c r="A181" s="6"/>
    </row>
    <row r="182" spans="1:1" s="7" customFormat="1" x14ac:dyDescent="0.3">
      <c r="A182" s="6"/>
    </row>
    <row r="183" spans="1:1" s="7" customFormat="1" x14ac:dyDescent="0.3">
      <c r="A183" s="6"/>
    </row>
    <row r="184" spans="1:1" s="7" customFormat="1" x14ac:dyDescent="0.3">
      <c r="A184" s="6"/>
    </row>
    <row r="185" spans="1:1" s="7" customFormat="1" x14ac:dyDescent="0.3">
      <c r="A185" s="6"/>
    </row>
    <row r="186" spans="1:1" s="7" customFormat="1" x14ac:dyDescent="0.3">
      <c r="A186" s="6"/>
    </row>
    <row r="187" spans="1:1" s="7" customFormat="1" x14ac:dyDescent="0.3">
      <c r="A187" s="6"/>
    </row>
    <row r="188" spans="1:1" s="7" customFormat="1" x14ac:dyDescent="0.3">
      <c r="A188" s="6"/>
    </row>
    <row r="189" spans="1:1" s="7" customFormat="1" x14ac:dyDescent="0.3">
      <c r="A189" s="6"/>
    </row>
    <row r="190" spans="1:1" s="7" customFormat="1" x14ac:dyDescent="0.3">
      <c r="A190" s="6"/>
    </row>
    <row r="191" spans="1:1" s="7" customFormat="1" x14ac:dyDescent="0.3">
      <c r="A191" s="6"/>
    </row>
    <row r="192" spans="1:1" s="7" customFormat="1" x14ac:dyDescent="0.3">
      <c r="A192" s="6"/>
    </row>
    <row r="193" spans="1:1" s="7" customFormat="1" x14ac:dyDescent="0.3">
      <c r="A193" s="6"/>
    </row>
    <row r="194" spans="1:1" s="7" customFormat="1" x14ac:dyDescent="0.3">
      <c r="A194" s="6"/>
    </row>
    <row r="195" spans="1:1" s="7" customFormat="1" x14ac:dyDescent="0.3">
      <c r="A195" s="6"/>
    </row>
    <row r="196" spans="1:1" s="7" customFormat="1" x14ac:dyDescent="0.3">
      <c r="A196" s="6"/>
    </row>
    <row r="197" spans="1:1" s="7" customFormat="1" x14ac:dyDescent="0.3">
      <c r="A197" s="6"/>
    </row>
    <row r="198" spans="1:1" s="7" customFormat="1" x14ac:dyDescent="0.3">
      <c r="A198" s="6"/>
    </row>
    <row r="199" spans="1:1" s="7" customFormat="1" x14ac:dyDescent="0.3">
      <c r="A199" s="6"/>
    </row>
    <row r="200" spans="1:1" s="7" customFormat="1" x14ac:dyDescent="0.3">
      <c r="A200" s="6"/>
    </row>
    <row r="201" spans="1:1" s="7" customFormat="1" x14ac:dyDescent="0.3">
      <c r="A201" s="6"/>
    </row>
    <row r="202" spans="1:1" s="7" customFormat="1" x14ac:dyDescent="0.3">
      <c r="A202" s="6"/>
    </row>
    <row r="203" spans="1:1" s="7" customFormat="1" x14ac:dyDescent="0.3">
      <c r="A203" s="6"/>
    </row>
    <row r="204" spans="1:1" s="7" customFormat="1" x14ac:dyDescent="0.3">
      <c r="A204" s="6"/>
    </row>
    <row r="205" spans="1:1" s="7" customFormat="1" x14ac:dyDescent="0.3">
      <c r="A205" s="6"/>
    </row>
    <row r="206" spans="1:1" s="7" customFormat="1" x14ac:dyDescent="0.3">
      <c r="A206" s="6"/>
    </row>
    <row r="207" spans="1:1" s="7" customFormat="1" x14ac:dyDescent="0.3">
      <c r="A207" s="6"/>
    </row>
    <row r="208" spans="1:1" s="7" customFormat="1" x14ac:dyDescent="0.3">
      <c r="A208" s="6"/>
    </row>
    <row r="209" spans="1:1" s="7" customFormat="1" x14ac:dyDescent="0.3">
      <c r="A209" s="6"/>
    </row>
    <row r="210" spans="1:1" s="7" customFormat="1" x14ac:dyDescent="0.3">
      <c r="A210" s="6"/>
    </row>
    <row r="211" spans="1:1" s="7" customFormat="1" x14ac:dyDescent="0.3">
      <c r="A211" s="6"/>
    </row>
    <row r="212" spans="1:1" s="7" customFormat="1" x14ac:dyDescent="0.3">
      <c r="A212" s="6"/>
    </row>
    <row r="213" spans="1:1" s="7" customFormat="1" x14ac:dyDescent="0.3">
      <c r="A213" s="6"/>
    </row>
    <row r="214" spans="1:1" s="7" customFormat="1" x14ac:dyDescent="0.3">
      <c r="A214" s="6"/>
    </row>
    <row r="215" spans="1:1" s="7" customFormat="1" x14ac:dyDescent="0.3">
      <c r="A215" s="6"/>
    </row>
    <row r="216" spans="1:1" s="7" customFormat="1" x14ac:dyDescent="0.3">
      <c r="A216" s="6"/>
    </row>
    <row r="217" spans="1:1" s="7" customFormat="1" x14ac:dyDescent="0.3">
      <c r="A217" s="6"/>
    </row>
    <row r="218" spans="1:1" s="7" customFormat="1" x14ac:dyDescent="0.3">
      <c r="A218" s="6"/>
    </row>
    <row r="219" spans="1:1" s="7" customFormat="1" x14ac:dyDescent="0.3">
      <c r="A219" s="6"/>
    </row>
    <row r="220" spans="1:1" s="7" customFormat="1" x14ac:dyDescent="0.3">
      <c r="A220" s="6"/>
    </row>
    <row r="221" spans="1:1" s="7" customFormat="1" x14ac:dyDescent="0.3">
      <c r="A221" s="6"/>
    </row>
    <row r="222" spans="1:1" s="7" customFormat="1" x14ac:dyDescent="0.3">
      <c r="A222" s="6"/>
    </row>
    <row r="223" spans="1:1" s="7" customFormat="1" x14ac:dyDescent="0.3">
      <c r="A223" s="6"/>
    </row>
    <row r="224" spans="1:1" s="7" customFormat="1" x14ac:dyDescent="0.3">
      <c r="A224" s="6"/>
    </row>
    <row r="225" spans="1:1" s="7" customFormat="1" x14ac:dyDescent="0.3">
      <c r="A225" s="6"/>
    </row>
    <row r="226" spans="1:1" s="7" customFormat="1" x14ac:dyDescent="0.3">
      <c r="A226" s="6"/>
    </row>
    <row r="227" spans="1:1" s="7" customFormat="1" x14ac:dyDescent="0.3">
      <c r="A227" s="6"/>
    </row>
    <row r="228" spans="1:1" s="7" customFormat="1" x14ac:dyDescent="0.3">
      <c r="A228" s="6"/>
    </row>
    <row r="229" spans="1:1" s="7" customFormat="1" x14ac:dyDescent="0.3">
      <c r="A229" s="6"/>
    </row>
    <row r="230" spans="1:1" s="7" customFormat="1" x14ac:dyDescent="0.3">
      <c r="A230" s="6"/>
    </row>
    <row r="231" spans="1:1" s="7" customFormat="1" x14ac:dyDescent="0.3">
      <c r="A231" s="6"/>
    </row>
    <row r="232" spans="1:1" s="7" customFormat="1" x14ac:dyDescent="0.3">
      <c r="A232" s="6"/>
    </row>
    <row r="233" spans="1:1" s="7" customFormat="1" x14ac:dyDescent="0.3">
      <c r="A233" s="6"/>
    </row>
    <row r="234" spans="1:1" s="7" customFormat="1" x14ac:dyDescent="0.3">
      <c r="A234" s="6"/>
    </row>
    <row r="235" spans="1:1" s="7" customFormat="1" x14ac:dyDescent="0.3">
      <c r="A235" s="6"/>
    </row>
    <row r="236" spans="1:1" s="7" customFormat="1" x14ac:dyDescent="0.3">
      <c r="A236" s="6"/>
    </row>
    <row r="237" spans="1:1" s="7" customFormat="1" x14ac:dyDescent="0.3">
      <c r="A237" s="6"/>
    </row>
    <row r="238" spans="1:1" s="7" customFormat="1" x14ac:dyDescent="0.3">
      <c r="A238" s="6"/>
    </row>
    <row r="239" spans="1:1" s="7" customFormat="1" x14ac:dyDescent="0.3">
      <c r="A239" s="6"/>
    </row>
    <row r="240" spans="1:1" s="7" customFormat="1" x14ac:dyDescent="0.3">
      <c r="A240" s="6"/>
    </row>
    <row r="241" spans="1:1" s="7" customFormat="1" x14ac:dyDescent="0.3">
      <c r="A241" s="6"/>
    </row>
    <row r="242" spans="1:1" s="7" customFormat="1" x14ac:dyDescent="0.3">
      <c r="A242" s="6"/>
    </row>
    <row r="243" spans="1:1" s="7" customFormat="1" x14ac:dyDescent="0.3">
      <c r="A243" s="6"/>
    </row>
    <row r="244" spans="1:1" s="7" customFormat="1" x14ac:dyDescent="0.3">
      <c r="A244" s="6"/>
    </row>
    <row r="245" spans="1:1" s="7" customFormat="1" x14ac:dyDescent="0.3">
      <c r="A245" s="6"/>
    </row>
    <row r="246" spans="1:1" s="7" customFormat="1" x14ac:dyDescent="0.3">
      <c r="A246" s="6"/>
    </row>
    <row r="247" spans="1:1" s="7" customFormat="1" x14ac:dyDescent="0.3">
      <c r="A247" s="6"/>
    </row>
    <row r="248" spans="1:1" s="7" customFormat="1" x14ac:dyDescent="0.3">
      <c r="A248" s="6"/>
    </row>
    <row r="249" spans="1:1" s="7" customFormat="1" x14ac:dyDescent="0.3">
      <c r="A249" s="6"/>
    </row>
    <row r="250" spans="1:1" s="7" customFormat="1" x14ac:dyDescent="0.3">
      <c r="A250" s="6"/>
    </row>
    <row r="251" spans="1:1" s="7" customFormat="1" x14ac:dyDescent="0.3">
      <c r="A251" s="6"/>
    </row>
    <row r="252" spans="1:1" s="7" customFormat="1" x14ac:dyDescent="0.3">
      <c r="A252" s="6"/>
    </row>
    <row r="253" spans="1:1" s="7" customFormat="1" x14ac:dyDescent="0.3">
      <c r="A253" s="6"/>
    </row>
    <row r="254" spans="1:1" s="7" customFormat="1" x14ac:dyDescent="0.3">
      <c r="A254" s="6"/>
    </row>
    <row r="255" spans="1:1" s="7" customFormat="1" x14ac:dyDescent="0.3">
      <c r="A255" s="6"/>
    </row>
    <row r="256" spans="1:1" s="7" customFormat="1" x14ac:dyDescent="0.3">
      <c r="A256" s="6"/>
    </row>
    <row r="257" spans="1:1" s="7" customFormat="1" x14ac:dyDescent="0.3">
      <c r="A257" s="6"/>
    </row>
    <row r="258" spans="1:1" s="7" customFormat="1" x14ac:dyDescent="0.3">
      <c r="A258" s="6"/>
    </row>
    <row r="259" spans="1:1" s="7" customFormat="1" x14ac:dyDescent="0.3">
      <c r="A259" s="6"/>
    </row>
    <row r="260" spans="1:1" s="7" customFormat="1" x14ac:dyDescent="0.3">
      <c r="A260" s="6"/>
    </row>
    <row r="261" spans="1:1" s="7" customFormat="1" x14ac:dyDescent="0.3">
      <c r="A261" s="6"/>
    </row>
    <row r="262" spans="1:1" s="7" customFormat="1" x14ac:dyDescent="0.3">
      <c r="A262" s="6"/>
    </row>
    <row r="263" spans="1:1" s="7" customFormat="1" x14ac:dyDescent="0.3">
      <c r="A263" s="6"/>
    </row>
    <row r="264" spans="1:1" s="7" customFormat="1" x14ac:dyDescent="0.3">
      <c r="A264" s="6"/>
    </row>
    <row r="265" spans="1:1" s="7" customFormat="1" x14ac:dyDescent="0.3">
      <c r="A265" s="6"/>
    </row>
    <row r="266" spans="1:1" s="7" customFormat="1" x14ac:dyDescent="0.3">
      <c r="A266" s="6"/>
    </row>
    <row r="267" spans="1:1" s="7" customFormat="1" x14ac:dyDescent="0.3">
      <c r="A267" s="6"/>
    </row>
    <row r="268" spans="1:1" s="7" customFormat="1" x14ac:dyDescent="0.3">
      <c r="A268" s="6"/>
    </row>
    <row r="269" spans="1:1" s="7" customFormat="1" x14ac:dyDescent="0.3">
      <c r="A269" s="6"/>
    </row>
    <row r="270" spans="1:1" s="7" customFormat="1" x14ac:dyDescent="0.3">
      <c r="A270" s="6"/>
    </row>
    <row r="271" spans="1:1" s="7" customFormat="1" x14ac:dyDescent="0.3">
      <c r="A271" s="6"/>
    </row>
    <row r="272" spans="1:1" s="7" customFormat="1" x14ac:dyDescent="0.3">
      <c r="A272" s="6"/>
    </row>
    <row r="273" spans="1:1" s="7" customFormat="1" x14ac:dyDescent="0.3">
      <c r="A273" s="6"/>
    </row>
    <row r="274" spans="1:1" s="7" customFormat="1" x14ac:dyDescent="0.3">
      <c r="A274" s="6"/>
    </row>
    <row r="275" spans="1:1" s="7" customFormat="1" x14ac:dyDescent="0.3">
      <c r="A275" s="6"/>
    </row>
    <row r="276" spans="1:1" s="7" customFormat="1" x14ac:dyDescent="0.3">
      <c r="A276" s="6"/>
    </row>
    <row r="277" spans="1:1" s="7" customFormat="1" x14ac:dyDescent="0.3">
      <c r="A277" s="6"/>
    </row>
    <row r="278" spans="1:1" s="7" customFormat="1" x14ac:dyDescent="0.3">
      <c r="A278" s="6"/>
    </row>
    <row r="279" spans="1:1" s="7" customFormat="1" x14ac:dyDescent="0.3">
      <c r="A279" s="6"/>
    </row>
    <row r="280" spans="1:1" s="7" customFormat="1" x14ac:dyDescent="0.3">
      <c r="A280" s="6"/>
    </row>
    <row r="281" spans="1:1" s="7" customFormat="1" x14ac:dyDescent="0.3">
      <c r="A281" s="6"/>
    </row>
    <row r="282" spans="1:1" s="7" customFormat="1" x14ac:dyDescent="0.3">
      <c r="A282" s="6"/>
    </row>
    <row r="283" spans="1:1" s="7" customFormat="1" x14ac:dyDescent="0.3">
      <c r="A283" s="6"/>
    </row>
    <row r="284" spans="1:1" s="7" customFormat="1" x14ac:dyDescent="0.3">
      <c r="A284" s="6"/>
    </row>
    <row r="285" spans="1:1" s="7" customFormat="1" x14ac:dyDescent="0.3">
      <c r="A285" s="6"/>
    </row>
    <row r="286" spans="1:1" s="7" customFormat="1" x14ac:dyDescent="0.3">
      <c r="A286" s="6"/>
    </row>
    <row r="287" spans="1:1" s="7" customFormat="1" x14ac:dyDescent="0.3">
      <c r="A287" s="6"/>
    </row>
    <row r="288" spans="1:1" s="7" customFormat="1" x14ac:dyDescent="0.3">
      <c r="A288" s="6"/>
    </row>
    <row r="289" spans="1:1" s="7" customFormat="1" x14ac:dyDescent="0.3">
      <c r="A289" s="6"/>
    </row>
    <row r="290" spans="1:1" s="7" customFormat="1" x14ac:dyDescent="0.3">
      <c r="A290" s="6"/>
    </row>
    <row r="291" spans="1:1" s="7" customFormat="1" x14ac:dyDescent="0.3">
      <c r="A291" s="6"/>
    </row>
    <row r="292" spans="1:1" s="7" customFormat="1" x14ac:dyDescent="0.3">
      <c r="A292" s="6"/>
    </row>
    <row r="293" spans="1:1" s="7" customFormat="1" x14ac:dyDescent="0.3">
      <c r="A293" s="6"/>
    </row>
    <row r="294" spans="1:1" s="7" customFormat="1" x14ac:dyDescent="0.3">
      <c r="A294" s="6"/>
    </row>
    <row r="295" spans="1:1" s="7" customFormat="1" x14ac:dyDescent="0.3">
      <c r="A295" s="6"/>
    </row>
    <row r="296" spans="1:1" s="7" customFormat="1" x14ac:dyDescent="0.3">
      <c r="A296" s="6"/>
    </row>
    <row r="297" spans="1:1" s="7" customFormat="1" x14ac:dyDescent="0.3">
      <c r="A297" s="6"/>
    </row>
    <row r="298" spans="1:1" s="7" customFormat="1" x14ac:dyDescent="0.3">
      <c r="A298" s="6"/>
    </row>
    <row r="299" spans="1:1" s="7" customFormat="1" x14ac:dyDescent="0.3">
      <c r="A299" s="6"/>
    </row>
    <row r="300" spans="1:1" s="7" customFormat="1" x14ac:dyDescent="0.3">
      <c r="A300" s="6"/>
    </row>
    <row r="301" spans="1:1" s="7" customFormat="1" x14ac:dyDescent="0.3">
      <c r="A301" s="6"/>
    </row>
    <row r="302" spans="1:1" s="7" customFormat="1" x14ac:dyDescent="0.3">
      <c r="A302" s="6"/>
    </row>
    <row r="303" spans="1:1" s="7" customFormat="1" x14ac:dyDescent="0.3">
      <c r="A303" s="6"/>
    </row>
    <row r="304" spans="1:1" s="7" customFormat="1" x14ac:dyDescent="0.3">
      <c r="A304" s="6"/>
    </row>
    <row r="305" spans="1:1" s="7" customFormat="1" x14ac:dyDescent="0.3">
      <c r="A305" s="6"/>
    </row>
    <row r="306" spans="1:1" s="7" customFormat="1" x14ac:dyDescent="0.3">
      <c r="A306" s="6"/>
    </row>
    <row r="307" spans="1:1" s="7" customFormat="1" x14ac:dyDescent="0.3">
      <c r="A307" s="6"/>
    </row>
    <row r="308" spans="1:1" s="7" customFormat="1" x14ac:dyDescent="0.3">
      <c r="A308" s="6"/>
    </row>
    <row r="309" spans="1:1" s="7" customFormat="1" x14ac:dyDescent="0.3">
      <c r="A309" s="6"/>
    </row>
    <row r="310" spans="1:1" s="7" customFormat="1" x14ac:dyDescent="0.3">
      <c r="A310" s="6"/>
    </row>
    <row r="311" spans="1:1" s="7" customFormat="1" x14ac:dyDescent="0.3">
      <c r="A311" s="6"/>
    </row>
    <row r="312" spans="1:1" s="7" customFormat="1" x14ac:dyDescent="0.3">
      <c r="A312" s="6"/>
    </row>
    <row r="313" spans="1:1" s="7" customFormat="1" x14ac:dyDescent="0.3">
      <c r="A313" s="6"/>
    </row>
    <row r="314" spans="1:1" s="7" customFormat="1" x14ac:dyDescent="0.3">
      <c r="A314" s="6"/>
    </row>
    <row r="315" spans="1:1" s="7" customFormat="1" x14ac:dyDescent="0.3">
      <c r="A315" s="6"/>
    </row>
    <row r="316" spans="1:1" s="7" customFormat="1" x14ac:dyDescent="0.3">
      <c r="A316" s="6"/>
    </row>
    <row r="317" spans="1:1" s="7" customFormat="1" x14ac:dyDescent="0.3">
      <c r="A317" s="6"/>
    </row>
    <row r="318" spans="1:1" s="7" customFormat="1" x14ac:dyDescent="0.3">
      <c r="A318" s="6"/>
    </row>
    <row r="319" spans="1:1" s="7" customFormat="1" x14ac:dyDescent="0.3">
      <c r="A319" s="6"/>
    </row>
    <row r="320" spans="1:1" s="7" customFormat="1" x14ac:dyDescent="0.3">
      <c r="A320" s="6"/>
    </row>
    <row r="321" spans="1:1" s="7" customFormat="1" x14ac:dyDescent="0.3">
      <c r="A321" s="6"/>
    </row>
    <row r="322" spans="1:1" s="7" customFormat="1" x14ac:dyDescent="0.3">
      <c r="A322" s="6"/>
    </row>
    <row r="323" spans="1:1" s="7" customFormat="1" x14ac:dyDescent="0.3">
      <c r="A323" s="6"/>
    </row>
    <row r="324" spans="1:1" s="7" customFormat="1" x14ac:dyDescent="0.3">
      <c r="A324" s="6"/>
    </row>
    <row r="325" spans="1:1" s="7" customFormat="1" x14ac:dyDescent="0.3">
      <c r="A325" s="6"/>
    </row>
    <row r="326" spans="1:1" s="7" customFormat="1" x14ac:dyDescent="0.3">
      <c r="A326" s="6"/>
    </row>
    <row r="327" spans="1:1" s="7" customFormat="1" x14ac:dyDescent="0.3">
      <c r="A327" s="6"/>
    </row>
    <row r="328" spans="1:1" s="7" customFormat="1" x14ac:dyDescent="0.3">
      <c r="A328" s="6"/>
    </row>
    <row r="329" spans="1:1" s="7" customFormat="1" x14ac:dyDescent="0.3">
      <c r="A329" s="6"/>
    </row>
    <row r="330" spans="1:1" s="7" customFormat="1" x14ac:dyDescent="0.3">
      <c r="A330" s="6"/>
    </row>
    <row r="331" spans="1:1" s="7" customFormat="1" x14ac:dyDescent="0.3">
      <c r="A331" s="6"/>
    </row>
    <row r="332" spans="1:1" s="7" customFormat="1" x14ac:dyDescent="0.3">
      <c r="A332" s="6"/>
    </row>
    <row r="333" spans="1:1" s="7" customFormat="1" x14ac:dyDescent="0.3">
      <c r="A333" s="6"/>
    </row>
    <row r="334" spans="1:1" s="7" customFormat="1" x14ac:dyDescent="0.3">
      <c r="A334" s="6"/>
    </row>
    <row r="335" spans="1:1" s="7" customFormat="1" x14ac:dyDescent="0.3">
      <c r="A335" s="6"/>
    </row>
    <row r="336" spans="1:1" s="7" customFormat="1" x14ac:dyDescent="0.3">
      <c r="A336" s="6"/>
    </row>
    <row r="337" spans="1:1" s="7" customFormat="1" x14ac:dyDescent="0.3">
      <c r="A337" s="6"/>
    </row>
    <row r="338" spans="1:1" s="7" customFormat="1" x14ac:dyDescent="0.3">
      <c r="A338" s="6"/>
    </row>
    <row r="339" spans="1:1" s="7" customFormat="1" x14ac:dyDescent="0.3">
      <c r="A339" s="6"/>
    </row>
    <row r="340" spans="1:1" s="7" customFormat="1" x14ac:dyDescent="0.3">
      <c r="A340" s="6"/>
    </row>
    <row r="341" spans="1:1" s="7" customFormat="1" x14ac:dyDescent="0.3">
      <c r="A341" s="6"/>
    </row>
    <row r="342" spans="1:1" s="7" customFormat="1" x14ac:dyDescent="0.3">
      <c r="A342" s="6"/>
    </row>
    <row r="343" spans="1:1" s="7" customFormat="1" x14ac:dyDescent="0.3">
      <c r="A343" s="6"/>
    </row>
    <row r="344" spans="1:1" s="7" customFormat="1" x14ac:dyDescent="0.3">
      <c r="A344" s="6"/>
    </row>
    <row r="345" spans="1:1" s="7" customFormat="1" x14ac:dyDescent="0.3">
      <c r="A345" s="6"/>
    </row>
    <row r="346" spans="1:1" s="7" customFormat="1" x14ac:dyDescent="0.3">
      <c r="A346" s="6"/>
    </row>
    <row r="347" spans="1:1" s="7" customFormat="1" x14ac:dyDescent="0.3">
      <c r="A347" s="6"/>
    </row>
    <row r="348" spans="1:1" s="7" customFormat="1" x14ac:dyDescent="0.3">
      <c r="A348" s="6"/>
    </row>
    <row r="349" spans="1:1" s="7" customFormat="1" x14ac:dyDescent="0.3">
      <c r="A349" s="6"/>
    </row>
    <row r="350" spans="1:1" s="7" customFormat="1" x14ac:dyDescent="0.3">
      <c r="A350" s="6"/>
    </row>
    <row r="351" spans="1:1" s="7" customFormat="1" x14ac:dyDescent="0.3">
      <c r="A351" s="6"/>
    </row>
    <row r="352" spans="1:1" s="7" customFormat="1" x14ac:dyDescent="0.3">
      <c r="A352" s="6"/>
    </row>
    <row r="353" spans="1:1" s="7" customFormat="1" x14ac:dyDescent="0.3">
      <c r="A353" s="6"/>
    </row>
    <row r="354" spans="1:1" s="7" customFormat="1" x14ac:dyDescent="0.3">
      <c r="A354" s="6"/>
    </row>
    <row r="355" spans="1:1" s="7" customFormat="1" x14ac:dyDescent="0.3">
      <c r="A355" s="6"/>
    </row>
    <row r="356" spans="1:1" s="7" customFormat="1" x14ac:dyDescent="0.3">
      <c r="A356" s="6"/>
    </row>
    <row r="357" spans="1:1" s="7" customFormat="1" x14ac:dyDescent="0.3">
      <c r="A357" s="6"/>
    </row>
    <row r="358" spans="1:1" s="7" customFormat="1" x14ac:dyDescent="0.3">
      <c r="A358" s="6"/>
    </row>
    <row r="359" spans="1:1" s="7" customFormat="1" x14ac:dyDescent="0.3">
      <c r="A359" s="6"/>
    </row>
    <row r="360" spans="1:1" s="7" customFormat="1" x14ac:dyDescent="0.3">
      <c r="A360" s="6"/>
    </row>
    <row r="361" spans="1:1" s="7" customFormat="1" x14ac:dyDescent="0.3">
      <c r="A361" s="6"/>
    </row>
    <row r="362" spans="1:1" s="7" customFormat="1" x14ac:dyDescent="0.3">
      <c r="A362" s="6"/>
    </row>
    <row r="363" spans="1:1" s="7" customFormat="1" x14ac:dyDescent="0.3">
      <c r="A363" s="6"/>
    </row>
    <row r="364" spans="1:1" s="7" customFormat="1" x14ac:dyDescent="0.3">
      <c r="A364" s="6"/>
    </row>
    <row r="365" spans="1:1" s="7" customFormat="1" x14ac:dyDescent="0.3">
      <c r="A365" s="6"/>
    </row>
    <row r="366" spans="1:1" s="7" customFormat="1" x14ac:dyDescent="0.3">
      <c r="A366" s="6"/>
    </row>
    <row r="367" spans="1:1" s="7" customFormat="1" x14ac:dyDescent="0.3">
      <c r="A367" s="6"/>
    </row>
    <row r="368" spans="1:1" s="7" customFormat="1" x14ac:dyDescent="0.3">
      <c r="A368" s="6"/>
    </row>
    <row r="369" spans="1:1" s="7" customFormat="1" x14ac:dyDescent="0.3">
      <c r="A369" s="6"/>
    </row>
    <row r="370" spans="1:1" s="7" customFormat="1" x14ac:dyDescent="0.3">
      <c r="A370" s="6"/>
    </row>
    <row r="371" spans="1:1" s="7" customFormat="1" x14ac:dyDescent="0.3">
      <c r="A371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Ramon Gomes</cp:lastModifiedBy>
  <dcterms:created xsi:type="dcterms:W3CDTF">2024-12-19T13:13:10Z</dcterms:created>
  <dcterms:modified xsi:type="dcterms:W3CDTF">2026-10-10T00:56:45Z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